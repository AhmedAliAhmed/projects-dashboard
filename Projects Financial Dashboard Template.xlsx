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العمران\"/>
    </mc:Choice>
  </mc:AlternateContent>
  <xr:revisionPtr revIDLastSave="0" documentId="13_ncr:1_{96AFB5D4-27D5-4672-937D-15A91BCEC935}" xr6:coauthVersionLast="47" xr6:coauthVersionMax="47" xr10:uidLastSave="{00000000-0000-0000-0000-000000000000}"/>
  <bookViews>
    <workbookView xWindow="-108" yWindow="-108" windowWidth="23256" windowHeight="12456" tabRatio="879" xr2:uid="{00000000-000D-0000-FFFF-FFFF00000000}"/>
  </bookViews>
  <sheets>
    <sheet name="ملخص مستخلصات المشاريع (2)" sheetId="30" r:id="rId1"/>
  </sheets>
  <definedNames>
    <definedName name="_xlnm.Print_Area" localSheetId="0">'ملخص مستخلصات المشاريع (2)'!$A$1:$F$20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30" l="1"/>
  <c r="C17" i="30" l="1"/>
  <c r="C19" i="30" l="1"/>
  <c r="C20" i="30"/>
</calcChain>
</file>

<file path=xl/sharedStrings.xml><?xml version="1.0" encoding="utf-8"?>
<sst xmlns="http://schemas.openxmlformats.org/spreadsheetml/2006/main" count="23" uniqueCount="22">
  <si>
    <t>م</t>
  </si>
  <si>
    <t>المشروع</t>
  </si>
  <si>
    <t>ترميز مباني التراث المعماري وسط الرياض</t>
  </si>
  <si>
    <t>تقديم الخدمات الاستشارية لدراسة تطوير خطط تشغيل و صيانة المرافق الهامة</t>
  </si>
  <si>
    <t>الاشراف علي تصميم و انشاء المختبر البيطري المركزي</t>
  </si>
  <si>
    <t>تقديم الخدمات الاستشارية للاشراف علي المشاريع الهندسية ببنك التنمية</t>
  </si>
  <si>
    <t>الاتفاقية الاطارية لخدمات الاشراف علي مشاريع إدارة المرافق بالمنطقة الوسطي</t>
  </si>
  <si>
    <t>الاشراف علي إدارة المرافق بالمنطقة الجنوبية</t>
  </si>
  <si>
    <t>الخدمات الاستشارية للاستفادة من المياه الجوفية و السطحية و مشاريع درء اخطار السيول</t>
  </si>
  <si>
    <t>الاتفاقية الاطارية لتصميم مشاريع المؤسسة العامة للري امر عمل (02)</t>
  </si>
  <si>
    <t>دراسة و تصميم مشروع انشاء قاعة الطعام بالمقر الرئيسي</t>
  </si>
  <si>
    <t>الاشراف علي المشاريع الصغيرة بجميع مناطق المملكة (المرحلة الثانية)</t>
  </si>
  <si>
    <t xml:space="preserve">المستخلصات المرفوعة   </t>
  </si>
  <si>
    <t xml:space="preserve">مستخلصات صدر لها امر دفع </t>
  </si>
  <si>
    <t xml:space="preserve">مبالغ تم دفعها للهندسية ولم يتم تحصيلها </t>
  </si>
  <si>
    <t>مستخلصات صدر لها امر دفع</t>
  </si>
  <si>
    <t xml:space="preserve">المستخلصات المستحقة حتى نهاية شهر أغسطس </t>
  </si>
  <si>
    <t xml:space="preserve"> مستخلصات مستهدف رفعها حتى نهاية شهر أغسطس </t>
  </si>
  <si>
    <t xml:space="preserve"> المستخلصات المرفوعة حتى نهاية شهر أغسطس   </t>
  </si>
  <si>
    <t xml:space="preserve">  اجمالي المستخلصات المستحقة حتى نهاية شهر أغسطس   </t>
  </si>
  <si>
    <t xml:space="preserve"> مستخلصات مستهدف رفعها حتى نهاية شهر أغسطس  </t>
  </si>
  <si>
    <t>الموقف المالي لمستخلصات المشاريع حتى نهاية أغسطس 2026م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</si>
</sst>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SR]#,##0"/>
  </numFmts>
  <fonts count="18">
    <font>
      <sz val="10"/>
      <color rgb="FF000000"/>
      <name val="Arial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  <scheme val="minor"/>
    </font>
    <font>
      <sz val="14"/>
      <color rgb="FFFF0000"/>
      <name val="&quot;Sakkal Majalla&quot;"/>
    </font>
    <font>
      <sz val="12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Al-Jazeera-Arabic-Bold"/>
    </font>
    <font>
      <b/>
      <sz val="12"/>
      <color rgb="FF000000"/>
      <name val="Al-Jazeera-Arabic-Bold"/>
    </font>
    <font>
      <b/>
      <sz val="11"/>
      <color rgb="FF000000"/>
      <name val="Arial"/>
      <family val="2"/>
    </font>
    <font>
      <b/>
      <sz val="12"/>
      <color theme="1"/>
      <name val="Al-Jazeera-Arabic-Bold"/>
    </font>
    <font>
      <b/>
      <sz val="12"/>
      <color theme="1"/>
      <name val="Arial"/>
      <family val="2"/>
    </font>
    <font>
      <b/>
      <sz val="18"/>
      <color rgb="FFFFFFFF"/>
      <name val="Simplified Arabic"/>
      <family val="1"/>
    </font>
    <font>
      <b/>
      <sz val="20"/>
      <color theme="0"/>
      <name val="Simplified Arabic"/>
      <family val="1"/>
    </font>
    <font>
      <sz val="20"/>
      <color theme="0"/>
      <name val="Simplified Arabic"/>
      <family val="1"/>
    </font>
    <font>
      <sz val="24"/>
      <color theme="0"/>
      <name val="Simplified Arabic"/>
      <family val="1"/>
    </font>
    <font>
      <b/>
      <sz val="20"/>
      <color rgb="FFFFFFFF"/>
      <name val="Simplified Arabic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339966"/>
        <bgColor rgb="FFEAD1DC"/>
      </patternFill>
    </fill>
    <fill>
      <patternFill patternType="solid">
        <fgColor theme="3" tint="0.499984740745262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4" fontId="3" fillId="0" borderId="0" xfId="0" applyNumberFormat="1" applyFont="1"/>
    <xf numFmtId="4" fontId="5" fillId="0" borderId="0" xfId="0" applyNumberFormat="1" applyFont="1" applyAlignment="1">
      <alignment horizontal="center"/>
    </xf>
    <xf numFmtId="0" fontId="6" fillId="0" borderId="0" xfId="0" applyFont="1"/>
    <xf numFmtId="4" fontId="7" fillId="0" borderId="0" xfId="0" applyNumberFormat="1" applyFont="1" applyAlignment="1">
      <alignment horizontal="center"/>
    </xf>
    <xf numFmtId="4" fontId="6" fillId="0" borderId="0" xfId="0" applyNumberFormat="1" applyFont="1"/>
    <xf numFmtId="4" fontId="7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171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4" fontId="0" fillId="0" borderId="0" xfId="0" applyNumberFormat="1"/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" fontId="2" fillId="2" borderId="10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" fontId="12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4" fontId="2" fillId="2" borderId="6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/>
    </xf>
    <xf numFmtId="0" fontId="17" fillId="4" borderId="4" xfId="0" applyFont="1" applyFill="1" applyBorder="1"/>
    <xf numFmtId="0" fontId="17" fillId="4" borderId="5" xfId="0" applyFont="1" applyFill="1" applyBorder="1"/>
    <xf numFmtId="0" fontId="17" fillId="4" borderId="7" xfId="0" applyFont="1" applyFill="1" applyBorder="1"/>
    <xf numFmtId="0" fontId="17" fillId="4" borderId="8" xfId="0" applyFont="1" applyFill="1" applyBorder="1"/>
    <xf numFmtId="0" fontId="17" fillId="4" borderId="9" xfId="0" applyFont="1" applyFill="1" applyBorder="1"/>
    <xf numFmtId="3" fontId="14" fillId="3" borderId="13" xfId="1" applyNumberFormat="1" applyFont="1" applyFill="1" applyBorder="1" applyAlignment="1">
      <alignment horizontal="center" vertical="center" readingOrder="1"/>
    </xf>
    <xf numFmtId="3" fontId="14" fillId="3" borderId="14" xfId="1" applyNumberFormat="1" applyFont="1" applyFill="1" applyBorder="1" applyAlignment="1">
      <alignment horizontal="center" vertical="center" readingOrder="1"/>
    </xf>
    <xf numFmtId="3" fontId="14" fillId="6" borderId="18" xfId="1" applyNumberFormat="1" applyFont="1" applyFill="1" applyBorder="1" applyAlignment="1">
      <alignment horizontal="center" vertical="center" readingOrder="1"/>
    </xf>
    <xf numFmtId="3" fontId="14" fillId="6" borderId="19" xfId="1" applyNumberFormat="1" applyFont="1" applyFill="1" applyBorder="1" applyAlignment="1">
      <alignment horizontal="center" vertical="center" readingOrder="1"/>
    </xf>
    <xf numFmtId="3" fontId="14" fillId="6" borderId="16" xfId="1" applyNumberFormat="1" applyFont="1" applyFill="1" applyBorder="1" applyAlignment="1">
      <alignment horizontal="center" vertical="center" readingOrder="1"/>
    </xf>
    <xf numFmtId="3" fontId="14" fillId="6" borderId="12" xfId="1" applyNumberFormat="1" applyFont="1" applyFill="1" applyBorder="1" applyAlignment="1">
      <alignment horizontal="center" vertical="center" readingOrder="1"/>
    </xf>
    <xf numFmtId="4" fontId="16" fillId="3" borderId="14" xfId="0" applyNumberFormat="1" applyFont="1" applyFill="1" applyBorder="1" applyAlignment="1">
      <alignment horizontal="center" vertical="center"/>
    </xf>
    <xf numFmtId="4" fontId="16" fillId="3" borderId="21" xfId="0" applyNumberFormat="1" applyFont="1" applyFill="1" applyBorder="1" applyAlignment="1">
      <alignment horizontal="center" vertical="center"/>
    </xf>
    <xf numFmtId="4" fontId="16" fillId="3" borderId="15" xfId="0" applyNumberFormat="1" applyFont="1" applyFill="1" applyBorder="1" applyAlignment="1">
      <alignment horizontal="center" vertical="center"/>
    </xf>
    <xf numFmtId="4" fontId="15" fillId="6" borderId="19" xfId="0" applyNumberFormat="1" applyFont="1" applyFill="1" applyBorder="1" applyAlignment="1">
      <alignment horizontal="center" vertical="center"/>
    </xf>
    <xf numFmtId="4" fontId="15" fillId="6" borderId="23" xfId="0" applyNumberFormat="1" applyFont="1" applyFill="1" applyBorder="1" applyAlignment="1">
      <alignment horizontal="center" vertical="center"/>
    </xf>
    <xf numFmtId="4" fontId="15" fillId="6" borderId="20" xfId="0" applyNumberFormat="1" applyFont="1" applyFill="1" applyBorder="1" applyAlignment="1">
      <alignment horizontal="center" vertical="center"/>
    </xf>
    <xf numFmtId="4" fontId="15" fillId="6" borderId="12" xfId="0" applyNumberFormat="1" applyFont="1" applyFill="1" applyBorder="1" applyAlignment="1">
      <alignment horizontal="center" vertical="center"/>
    </xf>
    <xf numFmtId="4" fontId="15" fillId="6" borderId="22" xfId="0" applyNumberFormat="1" applyFont="1" applyFill="1" applyBorder="1" applyAlignment="1">
      <alignment horizontal="center" vertical="center"/>
    </xf>
    <xf numFmtId="4" fontId="15" fillId="6" borderId="1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AB3676E6-2141-4451-91DC-825F055EC67B}"/>
  </cellStyles>
  <dxfs count="0"/>
  <tableStyles count="0" defaultTableStyle="TableStyleMedium2" defaultPivotStyle="PivotStyleLight16"/>
  <colors>
    <mruColors>
      <color rgb="FFCCCC00"/>
      <color rgb="FFCCFF33"/>
      <color rgb="FF40C080"/>
      <color rgb="FFFFFFFF"/>
      <color rgb="FF339966"/>
      <color rgb="FF3C1785"/>
      <color rgb="FF2935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3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2B60-F536-42E1-8558-00CAF36241CD}">
  <sheetPr>
    <outlinePr summaryBelow="0" summaryRight="0"/>
  </sheetPr>
  <dimension ref="A1:I996"/>
  <sheetViews>
    <sheetView rightToLeft="1" tabSelected="1" view="pageBreakPreview" zoomScaleNormal="100" zoomScaleSheetLayoutView="100" workbookViewId="0">
      <selection activeCell="G6" sqref="G6"/>
    </sheetView>
  </sheetViews>
  <sheetFormatPr defaultColWidth="12.6640625" defaultRowHeight="15.75" customHeight="1"/>
  <cols>
    <col min="1" max="1" width="8.109375" customWidth="1"/>
    <col min="2" max="2" width="66.77734375" bestFit="1" customWidth="1"/>
    <col min="3" max="3" width="26.88671875" customWidth="1"/>
    <col min="4" max="4" width="26.6640625" bestFit="1" customWidth="1"/>
    <col min="5" max="5" width="23.5546875" customWidth="1"/>
    <col min="6" max="6" width="23.21875" customWidth="1"/>
    <col min="7" max="8" width="15" customWidth="1"/>
    <col min="9" max="25" width="12" customWidth="1"/>
  </cols>
  <sheetData>
    <row r="1" spans="1:9" ht="21.75" customHeight="1" thickBot="1"/>
    <row r="2" spans="1:9" ht="21.75" customHeight="1" thickTop="1">
      <c r="A2" s="21" t="s">
        <v>21</v>
      </c>
      <c r="B2" s="22"/>
      <c r="C2" s="22"/>
      <c r="D2" s="22"/>
      <c r="E2" s="22"/>
      <c r="F2" s="23"/>
    </row>
    <row r="3" spans="1:9" ht="19.2" customHeight="1" thickBot="1">
      <c r="A3" s="24"/>
      <c r="B3" s="25"/>
      <c r="C3" s="25"/>
      <c r="D3" s="25"/>
      <c r="E3" s="25"/>
      <c r="F3" s="26"/>
    </row>
    <row r="4" spans="1:9" ht="63.6" customHeight="1" thickTop="1" thickBot="1">
      <c r="A4" s="19" t="s">
        <v>0</v>
      </c>
      <c r="B4" s="19" t="s">
        <v>1</v>
      </c>
      <c r="C4" s="20" t="s">
        <v>16</v>
      </c>
      <c r="D4" s="20" t="s">
        <v>12</v>
      </c>
      <c r="E4" s="20" t="s">
        <v>13</v>
      </c>
      <c r="F4" s="20" t="s">
        <v>17</v>
      </c>
    </row>
    <row r="5" spans="1:9" ht="30.6" customHeight="1">
      <c r="A5" s="12">
        <v>1</v>
      </c>
      <c r="B5" s="13" t="s">
        <v>3</v>
      </c>
      <c r="C5" s="14">
        <v>3237150</v>
      </c>
      <c r="D5" s="14">
        <v>0</v>
      </c>
      <c r="E5" s="14">
        <v>2608200</v>
      </c>
      <c r="F5" s="14">
        <v>628950</v>
      </c>
      <c r="G5" s="11"/>
      <c r="H5" s="3"/>
    </row>
    <row r="6" spans="1:9" ht="30.6" customHeight="1">
      <c r="A6" s="12">
        <v>2</v>
      </c>
      <c r="B6" s="13" t="s">
        <v>4</v>
      </c>
      <c r="C6" s="14">
        <v>789063.3</v>
      </c>
      <c r="D6" s="14">
        <v>0</v>
      </c>
      <c r="E6" s="14">
        <v>394531.65</v>
      </c>
      <c r="F6" s="14">
        <v>394531.65</v>
      </c>
      <c r="G6" s="11"/>
      <c r="H6" s="4"/>
      <c r="I6" s="5"/>
    </row>
    <row r="7" spans="1:9" ht="30.6" customHeight="1">
      <c r="A7" s="12">
        <v>3</v>
      </c>
      <c r="B7" s="13" t="s">
        <v>5</v>
      </c>
      <c r="C7" s="14">
        <v>241500</v>
      </c>
      <c r="D7" s="14">
        <v>241500</v>
      </c>
      <c r="E7" s="14">
        <v>0</v>
      </c>
      <c r="F7" s="14">
        <v>0</v>
      </c>
      <c r="G7" s="11"/>
      <c r="I7" s="2"/>
    </row>
    <row r="8" spans="1:9" ht="30.6" customHeight="1">
      <c r="A8" s="12">
        <v>4</v>
      </c>
      <c r="B8" s="13" t="s">
        <v>6</v>
      </c>
      <c r="C8" s="14">
        <v>20152734.683923513</v>
      </c>
      <c r="D8" s="14">
        <v>0</v>
      </c>
      <c r="E8" s="14">
        <v>6343344.0999999996</v>
      </c>
      <c r="F8" s="14">
        <v>13809390.583923517</v>
      </c>
      <c r="G8" s="11"/>
      <c r="H8" s="1"/>
      <c r="I8" s="6"/>
    </row>
    <row r="9" spans="1:9" ht="30.6" customHeight="1">
      <c r="A9" s="12">
        <v>5</v>
      </c>
      <c r="B9" s="13" t="s">
        <v>7</v>
      </c>
      <c r="C9" s="14">
        <v>4222488.43</v>
      </c>
      <c r="D9" s="14">
        <v>0</v>
      </c>
      <c r="E9" s="14">
        <v>3222488.4299999997</v>
      </c>
      <c r="F9" s="14">
        <v>1000000</v>
      </c>
      <c r="G9" s="11"/>
      <c r="H9" s="7"/>
      <c r="I9" s="8"/>
    </row>
    <row r="10" spans="1:9" ht="30.6" customHeight="1">
      <c r="A10" s="12">
        <v>6</v>
      </c>
      <c r="B10" s="15" t="s">
        <v>8</v>
      </c>
      <c r="C10" s="16">
        <v>4972625</v>
      </c>
      <c r="D10" s="16">
        <v>1752600</v>
      </c>
      <c r="E10" s="16">
        <v>2187300</v>
      </c>
      <c r="F10" s="16">
        <v>1032725</v>
      </c>
      <c r="G10" s="11"/>
      <c r="H10" s="7"/>
      <c r="I10" s="9"/>
    </row>
    <row r="11" spans="1:9" ht="30.6" customHeight="1">
      <c r="A11" s="12">
        <v>7</v>
      </c>
      <c r="B11" s="13" t="s">
        <v>9</v>
      </c>
      <c r="C11" s="14">
        <v>5398330</v>
      </c>
      <c r="D11" s="14">
        <v>4508000</v>
      </c>
      <c r="E11" s="14">
        <v>0</v>
      </c>
      <c r="F11" s="14">
        <v>890330</v>
      </c>
      <c r="G11" s="11"/>
      <c r="H11" s="7"/>
      <c r="I11" s="4"/>
    </row>
    <row r="12" spans="1:9" ht="30.6" customHeight="1">
      <c r="A12" s="12">
        <v>8</v>
      </c>
      <c r="B12" s="13" t="s">
        <v>2</v>
      </c>
      <c r="C12" s="14">
        <v>3910460</v>
      </c>
      <c r="D12" s="14">
        <v>0</v>
      </c>
      <c r="E12" s="14">
        <v>0</v>
      </c>
      <c r="F12" s="14">
        <v>3910460</v>
      </c>
      <c r="G12" s="11"/>
      <c r="H12" s="10"/>
    </row>
    <row r="13" spans="1:9" ht="30.6" customHeight="1">
      <c r="A13" s="12">
        <v>9</v>
      </c>
      <c r="B13" s="13" t="s">
        <v>10</v>
      </c>
      <c r="C13" s="14">
        <v>439875</v>
      </c>
      <c r="D13" s="14">
        <v>439875</v>
      </c>
      <c r="E13" s="14">
        <v>0</v>
      </c>
      <c r="F13" s="14">
        <v>0</v>
      </c>
      <c r="G13" s="11"/>
      <c r="H13" s="8"/>
    </row>
    <row r="14" spans="1:9" ht="30.6" customHeight="1">
      <c r="A14" s="12">
        <v>10</v>
      </c>
      <c r="B14" s="13" t="s">
        <v>14</v>
      </c>
      <c r="C14" s="14">
        <v>2864500</v>
      </c>
      <c r="D14" s="14">
        <v>0</v>
      </c>
      <c r="E14" s="14">
        <v>0</v>
      </c>
      <c r="F14" s="14">
        <v>2864500</v>
      </c>
      <c r="G14" s="11"/>
      <c r="H14" s="8"/>
    </row>
    <row r="15" spans="1:9" ht="30.6" customHeight="1">
      <c r="A15" s="12">
        <v>11</v>
      </c>
      <c r="B15" s="13" t="s">
        <v>11</v>
      </c>
      <c r="C15" s="14">
        <v>2996034</v>
      </c>
      <c r="D15" s="14">
        <v>0</v>
      </c>
      <c r="E15" s="14">
        <v>0</v>
      </c>
      <c r="F15" s="14">
        <v>2996034</v>
      </c>
      <c r="G15" s="11"/>
      <c r="H15" s="7"/>
      <c r="I15" s="4"/>
    </row>
    <row r="16" spans="1:9" ht="30.6" customHeight="1">
      <c r="A16" s="12">
        <v>12</v>
      </c>
      <c r="B16" s="17" t="s">
        <v>6</v>
      </c>
      <c r="C16" s="18">
        <v>3800000</v>
      </c>
      <c r="D16" s="18">
        <v>0</v>
      </c>
      <c r="E16" s="18">
        <v>0</v>
      </c>
      <c r="F16" s="18">
        <v>3800000</v>
      </c>
      <c r="G16" s="11"/>
      <c r="H16" s="7"/>
      <c r="I16" s="4"/>
    </row>
    <row r="17" spans="1:9" ht="37.200000000000003">
      <c r="A17" s="31" t="s">
        <v>18</v>
      </c>
      <c r="B17" s="32"/>
      <c r="C17" s="39">
        <f>SUBTOTAL(9,D5:D16)</f>
        <v>6941975</v>
      </c>
      <c r="D17" s="39"/>
      <c r="E17" s="40"/>
      <c r="F17" s="41"/>
      <c r="H17" s="7"/>
      <c r="I17" s="4"/>
    </row>
    <row r="18" spans="1:9" ht="37.200000000000003">
      <c r="A18" s="31" t="s">
        <v>15</v>
      </c>
      <c r="B18" s="32"/>
      <c r="C18" s="39">
        <f>SUBTOTAL(9,E5:E16)</f>
        <v>14755864.18</v>
      </c>
      <c r="D18" s="39"/>
      <c r="E18" s="40"/>
      <c r="F18" s="41"/>
      <c r="H18" s="7"/>
      <c r="I18" s="4"/>
    </row>
    <row r="19" spans="1:9" ht="37.799999999999997" thickBot="1">
      <c r="A19" s="29" t="s">
        <v>20</v>
      </c>
      <c r="B19" s="30"/>
      <c r="C19" s="36">
        <f>SUBTOTAL(9,F5:F16)</f>
        <v>31326921.233923517</v>
      </c>
      <c r="D19" s="36"/>
      <c r="E19" s="37"/>
      <c r="F19" s="38"/>
      <c r="H19" s="7"/>
      <c r="I19" s="4"/>
    </row>
    <row r="20" spans="1:9" ht="44.4">
      <c r="A20" s="27" t="s">
        <v>19</v>
      </c>
      <c r="B20" s="28"/>
      <c r="C20" s="33">
        <f>SUBTOTAL(9,C5:C16)</f>
        <v>53024760.413923517</v>
      </c>
      <c r="D20" s="33"/>
      <c r="E20" s="34"/>
      <c r="F20" s="35"/>
    </row>
    <row r="21" spans="1:9" ht="21.75" customHeight="1"/>
    <row r="22" spans="1:9" ht="21.75" customHeight="1"/>
    <row r="23" spans="1:9" ht="21.75" customHeight="1"/>
    <row r="24" spans="1:9" ht="21.75" customHeight="1"/>
    <row r="25" spans="1:9" ht="21.75" customHeight="1"/>
    <row r="26" spans="1:9" ht="21.75" customHeight="1"/>
    <row r="27" spans="1:9" ht="21.75" customHeight="1"/>
    <row r="28" spans="1:9" ht="21.75" customHeight="1"/>
    <row r="29" spans="1:9" ht="21.75" customHeight="1"/>
    <row r="30" spans="1:9" ht="21.75" customHeight="1"/>
    <row r="31" spans="1:9" ht="21.75" customHeight="1"/>
    <row r="32" spans="1:9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</sheetData>
  <mergeCells count="9">
    <mergeCell ref="A2:F3"/>
    <mergeCell ref="A20:B20"/>
    <mergeCell ref="A19:B19"/>
    <mergeCell ref="A18:B18"/>
    <mergeCell ref="C20:F20"/>
    <mergeCell ref="C19:F19"/>
    <mergeCell ref="C18:F18"/>
    <mergeCell ref="A17:B17"/>
    <mergeCell ref="C17:F17"/>
  </mergeCells>
  <printOptions horizontalCentered="1" verticalCentered="1" gridLines="1"/>
  <pageMargins left="0" right="0" top="0" bottom="0" header="0" footer="0"/>
  <pageSetup paperSize="8" scale="119" fitToHeight="50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ملخص مستخلصات المشاريع (2)</vt:lpstr>
      <vt:lpstr>'ملخص مستخلصات المشاريع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 Ahmed Ali</cp:lastModifiedBy>
  <cp:lastPrinted>2026-08-30T16:15:45Z</cp:lastPrinted>
  <dcterms:created xsi:type="dcterms:W3CDTF">2026-08-28T23:01:47Z</dcterms:created>
  <dcterms:modified xsi:type="dcterms:W3CDTF">2026-08-30T22:00:27Z</dcterms:modified>
</cp:coreProperties>
</file>